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MESH_\Downloads\"/>
    </mc:Choice>
  </mc:AlternateContent>
  <xr:revisionPtr revIDLastSave="0" documentId="13_ncr:1_{3D1E95A0-2031-4BF5-8DD4-A72E761AF34B}" xr6:coauthVersionLast="47" xr6:coauthVersionMax="47" xr10:uidLastSave="{00000000-0000-0000-0000-000000000000}"/>
  <bookViews>
    <workbookView xWindow="-108" yWindow="-108" windowWidth="23256" windowHeight="12456" xr2:uid="{A8F744CE-2ACC-42A0-AFFE-E37E74C81C0F}"/>
  </bookViews>
  <sheets>
    <sheet name="Product Master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1" i="8" l="1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6" i="8"/>
  <c r="Q5" i="8"/>
  <c r="Q4" i="8"/>
  <c r="Q3" i="8"/>
  <c r="Q2" i="8"/>
  <c r="O14" i="8"/>
  <c r="O6" i="8"/>
  <c r="O5" i="8"/>
  <c r="N31" i="8"/>
  <c r="O31" i="8" s="1"/>
  <c r="N30" i="8"/>
  <c r="O30" i="8" s="1"/>
  <c r="N29" i="8"/>
  <c r="O29" i="8" s="1"/>
  <c r="N28" i="8"/>
  <c r="O28" i="8" s="1"/>
  <c r="N27" i="8"/>
  <c r="O27" i="8" s="1"/>
  <c r="N26" i="8"/>
  <c r="O26" i="8" s="1"/>
  <c r="N25" i="8"/>
  <c r="O25" i="8" s="1"/>
  <c r="N24" i="8"/>
  <c r="O24" i="8" s="1"/>
  <c r="N23" i="8"/>
  <c r="O23" i="8" s="1"/>
  <c r="N22" i="8"/>
  <c r="O22" i="8" s="1"/>
  <c r="N21" i="8"/>
  <c r="O21" i="8" s="1"/>
  <c r="N20" i="8"/>
  <c r="O20" i="8" s="1"/>
  <c r="N19" i="8"/>
  <c r="O19" i="8" s="1"/>
  <c r="N18" i="8"/>
  <c r="O18" i="8" s="1"/>
  <c r="N17" i="8"/>
  <c r="O17" i="8" s="1"/>
  <c r="N16" i="8"/>
  <c r="O16" i="8" s="1"/>
  <c r="N15" i="8"/>
  <c r="O15" i="8" s="1"/>
  <c r="N14" i="8"/>
  <c r="N13" i="8"/>
  <c r="O13" i="8" s="1"/>
  <c r="N12" i="8"/>
  <c r="O12" i="8" s="1"/>
  <c r="N11" i="8"/>
  <c r="O11" i="8" s="1"/>
  <c r="N10" i="8"/>
  <c r="O10" i="8" s="1"/>
  <c r="N9" i="8"/>
  <c r="O9" i="8" s="1"/>
  <c r="N8" i="8"/>
  <c r="O8" i="8" s="1"/>
  <c r="N7" i="8"/>
  <c r="O7" i="8" s="1"/>
  <c r="N6" i="8"/>
  <c r="N5" i="8"/>
  <c r="N4" i="8"/>
  <c r="O4" i="8" s="1"/>
  <c r="N3" i="8"/>
  <c r="O3" i="8" s="1"/>
  <c r="N2" i="8"/>
  <c r="O2" i="8" s="1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</calcChain>
</file>

<file path=xl/sharedStrings.xml><?xml version="1.0" encoding="utf-8"?>
<sst xmlns="http://schemas.openxmlformats.org/spreadsheetml/2006/main" count="137" uniqueCount="92">
  <si>
    <t>ERP Code</t>
  </si>
  <si>
    <t>HS Code (Mapped)</t>
  </si>
  <si>
    <t>Category/Commodity</t>
  </si>
  <si>
    <t>Peroidic/Perpatual Review</t>
  </si>
  <si>
    <t>In-Hand Inventory</t>
  </si>
  <si>
    <t>Perpetual</t>
  </si>
  <si>
    <t>Periodic</t>
  </si>
  <si>
    <t>Electrical</t>
  </si>
  <si>
    <t>PRD0001</t>
  </si>
  <si>
    <t>Engine</t>
  </si>
  <si>
    <t>Complete cylinder head assembly</t>
  </si>
  <si>
    <t>PRD0002</t>
  </si>
  <si>
    <t>Thermostat housing with gasket</t>
  </si>
  <si>
    <t>PRD0003</t>
  </si>
  <si>
    <t>Drivetrain</t>
  </si>
  <si>
    <t>Clutch pressure plate</t>
  </si>
  <si>
    <t>PRD0004</t>
  </si>
  <si>
    <t>Transmission</t>
  </si>
  <si>
    <t>Gearset (manual 5-speed)</t>
  </si>
  <si>
    <t>PRD0005</t>
  </si>
  <si>
    <t>Automatic torque converter</t>
  </si>
  <si>
    <t>PRD0006</t>
  </si>
  <si>
    <t>Brakes</t>
  </si>
  <si>
    <t>Brake pads set (front)</t>
  </si>
  <si>
    <t>PRD0007</t>
  </si>
  <si>
    <t>Drive shaft assembly</t>
  </si>
  <si>
    <t>PRD0008</t>
  </si>
  <si>
    <t>Suspension &amp; Steering</t>
  </si>
  <si>
    <t>Steering rack (electric)</t>
  </si>
  <si>
    <t>PRD0009</t>
  </si>
  <si>
    <t>Shock absorber (front)</t>
  </si>
  <si>
    <t>PRD0010</t>
  </si>
  <si>
    <t>Wheels &amp; Tires</t>
  </si>
  <si>
    <t>Steel wheel rim 15"</t>
  </si>
  <si>
    <t>PRD0011</t>
  </si>
  <si>
    <t>Alloy wheel 16" (single)</t>
  </si>
  <si>
    <t>PRD0012</t>
  </si>
  <si>
    <t>Starter motor 12V</t>
  </si>
  <si>
    <t>PRD0013</t>
  </si>
  <si>
    <t>Alternator 12V</t>
  </si>
  <si>
    <t>PRD0014</t>
  </si>
  <si>
    <t>Automotive ECU (engine control)</t>
  </si>
  <si>
    <t>PRD0015</t>
  </si>
  <si>
    <t>Fuel System</t>
  </si>
  <si>
    <t>Fuel pump assembly</t>
  </si>
  <si>
    <t>PRD0016</t>
  </si>
  <si>
    <t>Body &amp; Exterior</t>
  </si>
  <si>
    <t>Bumper assembly (front) painted</t>
  </si>
  <si>
    <t>PRD0017</t>
  </si>
  <si>
    <t>Body &amp; Exterior/HVAC</t>
  </si>
  <si>
    <t>AC compressor clutch assembly</t>
  </si>
  <si>
    <t>PRD0018</t>
  </si>
  <si>
    <t>Fasteners</t>
  </si>
  <si>
    <t>Bolts &amp; nuts kit (engine mounting)</t>
  </si>
  <si>
    <t>PRD0019</t>
  </si>
  <si>
    <t>Brake disc (vented</t>
  </si>
  <si>
    <t>PRD0020</t>
  </si>
  <si>
    <t>Constant velocity joint (outer)</t>
  </si>
  <si>
    <t>PRD0021</t>
  </si>
  <si>
    <t>Transmission filter &amp; pan kit</t>
  </si>
  <si>
    <t>PRD0022</t>
  </si>
  <si>
    <t>Fuel injector (direct) set</t>
  </si>
  <si>
    <t>PRD0023</t>
  </si>
  <si>
    <t>Speed sensor (wheel)</t>
  </si>
  <si>
    <t>PRD0024</t>
  </si>
  <si>
    <t>Headlamp LED module</t>
  </si>
  <si>
    <t>PRD0025</t>
  </si>
  <si>
    <t>HVAC</t>
  </si>
  <si>
    <t>Heater core assembly</t>
  </si>
  <si>
    <t>PRD0026</t>
  </si>
  <si>
    <t>Condenser (AC)</t>
  </si>
  <si>
    <t>PRD0027</t>
  </si>
  <si>
    <t>Tire 195/65 R15 (unit)</t>
  </si>
  <si>
    <t>PRD0028</t>
  </si>
  <si>
    <t>Hood latch assembly</t>
  </si>
  <si>
    <t>PRD0029</t>
  </si>
  <si>
    <t>Body &amp; Exterior/Trim</t>
  </si>
  <si>
    <t>Door handle (exterior)</t>
  </si>
  <si>
    <t>PRD0030</t>
  </si>
  <si>
    <t>Battery cable set</t>
  </si>
  <si>
    <t xml:space="preserve">Inventory Value </t>
  </si>
  <si>
    <t>Safety Stock (Nos)</t>
  </si>
  <si>
    <t>Days of Cover (Days)</t>
  </si>
  <si>
    <t>ROQ (Nos)</t>
  </si>
  <si>
    <t>In-Transit Inventory (Nos)</t>
  </si>
  <si>
    <t>Cost/Unit $</t>
  </si>
  <si>
    <t>ROP (Nos)</t>
  </si>
  <si>
    <t>Daily Use (Nos)</t>
  </si>
  <si>
    <t>Wt. Avg Lead Time (Days)</t>
  </si>
  <si>
    <t>Holding cost - % of unit cost /unit/day</t>
  </si>
  <si>
    <t>Holding Cost/Unit/Day</t>
  </si>
  <si>
    <t>Discription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</si>
</sst>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-1009]#,##0.00"/>
  </numFmts>
  <fonts count="4" x14ac:knownFonts="1">
    <font>
      <sz val="11"/>
      <color theme="1"/>
      <name val="Aptos Narrow"/>
      <family val="2"/>
      <scheme val="minor"/>
    </font>
    <font>
      <sz val="10"/>
      <color rgb="FF27251E"/>
      <name val="Segoe UI"/>
      <family val="2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  <xf numFmtId="0" fontId="2" fillId="2" borderId="2" xfId="0" applyFont="1" applyFill="1" applyBorder="1"/>
    <xf numFmtId="1" fontId="0" fillId="0" borderId="0" xfId="0" applyNumberFormat="1"/>
    <xf numFmtId="2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9DD6D26C-1DBD-4EBA-8FF8-2857A34473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FC8CC-25F2-4C56-B2E2-78563C8A1E95}">
  <dimension ref="A1:Q31"/>
  <sheetViews>
    <sheetView tabSelected="1" topLeftCell="B1" zoomScale="70" zoomScaleNormal="70" workbookViewId="0">
      <selection activeCell="D2" sqref="D2"/>
    </sheetView>
  </sheetViews>
  <sheetFormatPr defaultRowHeight="14.4" x14ac:dyDescent="0.3"/>
  <cols>
    <col min="1" max="1" width="11.5546875" customWidth="1"/>
    <col min="2" max="2" width="12.21875" customWidth="1"/>
    <col min="3" max="4" width="20" customWidth="1"/>
    <col min="5" max="5" width="15.77734375" bestFit="1" customWidth="1"/>
    <col min="6" max="6" width="14.109375" bestFit="1" customWidth="1"/>
    <col min="7" max="7" width="14.109375" customWidth="1"/>
    <col min="8" max="8" width="22.109375" bestFit="1" customWidth="1"/>
    <col min="9" max="10" width="20" customWidth="1"/>
    <col min="11" max="11" width="13.109375" customWidth="1"/>
    <col min="12" max="12" width="20" customWidth="1"/>
    <col min="13" max="13" width="21.88671875" bestFit="1" customWidth="1"/>
    <col min="14" max="14" width="14.33203125" bestFit="1" customWidth="1"/>
    <col min="15" max="15" width="10.33203125" customWidth="1"/>
    <col min="16" max="16" width="28.77734375" bestFit="1" customWidth="1"/>
    <col min="17" max="17" width="26.77734375" bestFit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91</v>
      </c>
      <c r="E1" s="2" t="s">
        <v>4</v>
      </c>
      <c r="F1" s="2" t="s">
        <v>80</v>
      </c>
      <c r="G1" s="2" t="s">
        <v>85</v>
      </c>
      <c r="H1" s="2" t="s">
        <v>84</v>
      </c>
      <c r="I1" s="2" t="s">
        <v>82</v>
      </c>
      <c r="J1" s="2" t="s">
        <v>83</v>
      </c>
      <c r="K1" s="2" t="s">
        <v>3</v>
      </c>
      <c r="L1" s="2" t="s">
        <v>81</v>
      </c>
      <c r="M1" s="4" t="s">
        <v>88</v>
      </c>
      <c r="N1" s="4" t="s">
        <v>87</v>
      </c>
      <c r="O1" s="4" t="s">
        <v>86</v>
      </c>
      <c r="P1" s="4" t="s">
        <v>89</v>
      </c>
      <c r="Q1" s="4" t="s">
        <v>90</v>
      </c>
    </row>
    <row r="2" spans="1:17" ht="15" x14ac:dyDescent="0.35">
      <c r="A2" s="1" t="s">
        <v>8</v>
      </c>
      <c r="B2">
        <v>870899</v>
      </c>
      <c r="C2" t="s">
        <v>9</v>
      </c>
      <c r="D2" t="s">
        <v>10</v>
      </c>
      <c r="E2">
        <v>12</v>
      </c>
      <c r="F2" s="3">
        <v>144000</v>
      </c>
      <c r="G2" s="3">
        <f>F2/E2</f>
        <v>12000</v>
      </c>
      <c r="H2">
        <v>6</v>
      </c>
      <c r="I2">
        <v>45</v>
      </c>
      <c r="J2">
        <v>4</v>
      </c>
      <c r="K2" t="s">
        <v>5</v>
      </c>
      <c r="L2">
        <v>3</v>
      </c>
      <c r="M2" s="5">
        <v>24</v>
      </c>
      <c r="N2" s="6">
        <f>E2/I2</f>
        <v>0.26666666666666666</v>
      </c>
      <c r="O2" s="5">
        <f>(N2*M2)+L2</f>
        <v>9.4</v>
      </c>
      <c r="P2" s="7">
        <v>8.0000000000000004E-4</v>
      </c>
      <c r="Q2" s="3">
        <f>P2*G2</f>
        <v>9.6</v>
      </c>
    </row>
    <row r="3" spans="1:17" ht="15" x14ac:dyDescent="0.35">
      <c r="A3" s="1" t="s">
        <v>11</v>
      </c>
      <c r="B3">
        <v>840999</v>
      </c>
      <c r="C3" t="s">
        <v>9</v>
      </c>
      <c r="D3" t="s">
        <v>12</v>
      </c>
      <c r="E3">
        <v>120</v>
      </c>
      <c r="F3" s="3">
        <v>3600</v>
      </c>
      <c r="G3" s="3">
        <f t="shared" ref="G3:G31" si="0">F3/E3</f>
        <v>30</v>
      </c>
      <c r="H3">
        <v>40</v>
      </c>
      <c r="I3">
        <v>60</v>
      </c>
      <c r="J3">
        <v>50</v>
      </c>
      <c r="K3" t="s">
        <v>5</v>
      </c>
      <c r="L3">
        <v>20</v>
      </c>
      <c r="M3" s="5">
        <v>15.5</v>
      </c>
      <c r="N3" s="6">
        <f t="shared" ref="N3:N31" si="1">E3/I3</f>
        <v>2</v>
      </c>
      <c r="O3" s="5">
        <f t="shared" ref="O3:O31" si="2">(N3*M3)+L3</f>
        <v>51</v>
      </c>
      <c r="P3" s="7">
        <v>1.1000000000000001E-3</v>
      </c>
      <c r="Q3" s="3">
        <f t="shared" ref="Q3:Q31" si="3">P3*G3</f>
        <v>3.3000000000000002E-2</v>
      </c>
    </row>
    <row r="4" spans="1:17" ht="15" x14ac:dyDescent="0.35">
      <c r="A4" s="1" t="s">
        <v>13</v>
      </c>
      <c r="B4">
        <v>870880</v>
      </c>
      <c r="C4" t="s">
        <v>14</v>
      </c>
      <c r="D4" t="s">
        <v>15</v>
      </c>
      <c r="E4">
        <v>45</v>
      </c>
      <c r="F4" s="3">
        <v>13500</v>
      </c>
      <c r="G4" s="3">
        <f t="shared" si="0"/>
        <v>300</v>
      </c>
      <c r="H4">
        <v>10</v>
      </c>
      <c r="I4">
        <v>30</v>
      </c>
      <c r="J4">
        <v>10</v>
      </c>
      <c r="K4" t="s">
        <v>5</v>
      </c>
      <c r="L4">
        <v>5</v>
      </c>
      <c r="M4" s="5">
        <v>26.5</v>
      </c>
      <c r="N4" s="6">
        <f t="shared" si="1"/>
        <v>1.5</v>
      </c>
      <c r="O4" s="5">
        <f t="shared" si="2"/>
        <v>44.75</v>
      </c>
      <c r="P4" s="7">
        <v>5.9999999999999995E-4</v>
      </c>
      <c r="Q4" s="3">
        <f t="shared" si="3"/>
        <v>0.18</v>
      </c>
    </row>
    <row r="5" spans="1:17" ht="15" x14ac:dyDescent="0.35">
      <c r="A5" s="1" t="s">
        <v>16</v>
      </c>
      <c r="B5">
        <v>870830</v>
      </c>
      <c r="C5" t="s">
        <v>17</v>
      </c>
      <c r="D5" t="s">
        <v>18</v>
      </c>
      <c r="E5">
        <v>8</v>
      </c>
      <c r="F5" s="3">
        <v>48000</v>
      </c>
      <c r="G5" s="3">
        <f t="shared" si="0"/>
        <v>6000</v>
      </c>
      <c r="H5">
        <v>2</v>
      </c>
      <c r="I5">
        <v>25</v>
      </c>
      <c r="J5">
        <v>2</v>
      </c>
      <c r="K5" t="s">
        <v>5</v>
      </c>
      <c r="L5">
        <v>1</v>
      </c>
      <c r="M5" s="5">
        <v>36.4</v>
      </c>
      <c r="N5" s="6">
        <f t="shared" si="1"/>
        <v>0.32</v>
      </c>
      <c r="O5" s="5">
        <f t="shared" si="2"/>
        <v>12.648</v>
      </c>
      <c r="P5" s="7">
        <v>1.4E-3</v>
      </c>
      <c r="Q5" s="3">
        <f t="shared" si="3"/>
        <v>8.4</v>
      </c>
    </row>
    <row r="6" spans="1:17" ht="15" x14ac:dyDescent="0.35">
      <c r="A6" s="1" t="s">
        <v>19</v>
      </c>
      <c r="B6">
        <v>870840</v>
      </c>
      <c r="C6" t="s">
        <v>17</v>
      </c>
      <c r="D6" t="s">
        <v>20</v>
      </c>
      <c r="E6">
        <v>6</v>
      </c>
      <c r="F6" s="3">
        <v>72000</v>
      </c>
      <c r="G6" s="3">
        <f t="shared" si="0"/>
        <v>12000</v>
      </c>
      <c r="H6">
        <v>1</v>
      </c>
      <c r="I6">
        <v>20</v>
      </c>
      <c r="J6">
        <v>1</v>
      </c>
      <c r="K6" t="s">
        <v>5</v>
      </c>
      <c r="L6">
        <v>1</v>
      </c>
      <c r="M6" s="5">
        <v>36</v>
      </c>
      <c r="N6" s="6">
        <f t="shared" si="1"/>
        <v>0.3</v>
      </c>
      <c r="O6" s="5">
        <f t="shared" si="2"/>
        <v>11.799999999999999</v>
      </c>
      <c r="P6" s="7">
        <v>8.9999999999999998E-4</v>
      </c>
      <c r="Q6" s="3">
        <f t="shared" si="3"/>
        <v>10.799999999999999</v>
      </c>
    </row>
    <row r="7" spans="1:17" ht="15" x14ac:dyDescent="0.35">
      <c r="A7" s="1" t="s">
        <v>21</v>
      </c>
      <c r="B7">
        <v>401190</v>
      </c>
      <c r="C7" t="s">
        <v>22</v>
      </c>
      <c r="D7" t="s">
        <v>23</v>
      </c>
      <c r="E7">
        <v>600</v>
      </c>
      <c r="F7" s="3">
        <v>18000</v>
      </c>
      <c r="G7" s="3">
        <f t="shared" si="0"/>
        <v>30</v>
      </c>
      <c r="H7">
        <v>200</v>
      </c>
      <c r="I7">
        <v>80</v>
      </c>
      <c r="J7">
        <v>200</v>
      </c>
      <c r="K7" t="s">
        <v>6</v>
      </c>
      <c r="L7">
        <v>100</v>
      </c>
      <c r="M7" s="5">
        <v>24.5</v>
      </c>
      <c r="N7" s="6">
        <f t="shared" si="1"/>
        <v>7.5</v>
      </c>
      <c r="O7" s="5">
        <f t="shared" si="2"/>
        <v>283.75</v>
      </c>
      <c r="P7" s="7">
        <v>1.1999999999999999E-3</v>
      </c>
      <c r="Q7" s="3">
        <f t="shared" si="3"/>
        <v>3.5999999999999997E-2</v>
      </c>
    </row>
    <row r="8" spans="1:17" ht="15" x14ac:dyDescent="0.35">
      <c r="A8" s="1" t="s">
        <v>24</v>
      </c>
      <c r="B8">
        <v>870829</v>
      </c>
      <c r="C8" t="s">
        <v>14</v>
      </c>
      <c r="D8" t="s">
        <v>25</v>
      </c>
      <c r="E8">
        <v>30</v>
      </c>
      <c r="F8" s="3">
        <v>30000</v>
      </c>
      <c r="G8" s="3">
        <f t="shared" si="0"/>
        <v>1000</v>
      </c>
      <c r="H8">
        <v>5</v>
      </c>
      <c r="I8">
        <v>35</v>
      </c>
      <c r="J8">
        <v>5</v>
      </c>
      <c r="K8" t="s">
        <v>5</v>
      </c>
      <c r="L8">
        <v>3</v>
      </c>
      <c r="M8" s="5">
        <v>22.8</v>
      </c>
      <c r="N8" s="6">
        <f t="shared" si="1"/>
        <v>0.8571428571428571</v>
      </c>
      <c r="O8" s="5">
        <f t="shared" si="2"/>
        <v>22.542857142857141</v>
      </c>
      <c r="P8" s="7">
        <v>6.9999999999999999E-4</v>
      </c>
      <c r="Q8" s="3">
        <f t="shared" si="3"/>
        <v>0.7</v>
      </c>
    </row>
    <row r="9" spans="1:17" ht="15" x14ac:dyDescent="0.35">
      <c r="A9" s="1" t="s">
        <v>26</v>
      </c>
      <c r="B9">
        <v>870899</v>
      </c>
      <c r="C9" t="s">
        <v>27</v>
      </c>
      <c r="D9" t="s">
        <v>28</v>
      </c>
      <c r="E9">
        <v>20</v>
      </c>
      <c r="F9" s="3">
        <v>40000</v>
      </c>
      <c r="G9" s="3">
        <f t="shared" si="0"/>
        <v>2000</v>
      </c>
      <c r="H9">
        <v>3</v>
      </c>
      <c r="I9">
        <v>40</v>
      </c>
      <c r="J9">
        <v>5</v>
      </c>
      <c r="K9" t="s">
        <v>5</v>
      </c>
      <c r="L9">
        <v>2</v>
      </c>
      <c r="M9" s="5">
        <v>38.4</v>
      </c>
      <c r="N9" s="6">
        <f t="shared" si="1"/>
        <v>0.5</v>
      </c>
      <c r="O9" s="5">
        <f t="shared" si="2"/>
        <v>21.2</v>
      </c>
      <c r="P9" s="7">
        <v>1E-3</v>
      </c>
      <c r="Q9" s="3">
        <f t="shared" si="3"/>
        <v>2</v>
      </c>
    </row>
    <row r="10" spans="1:17" ht="15" x14ac:dyDescent="0.35">
      <c r="A10" s="1" t="s">
        <v>29</v>
      </c>
      <c r="B10">
        <v>870880</v>
      </c>
      <c r="C10" t="s">
        <v>27</v>
      </c>
      <c r="D10" t="s">
        <v>30</v>
      </c>
      <c r="E10">
        <v>240</v>
      </c>
      <c r="F10" s="3">
        <v>19200</v>
      </c>
      <c r="G10" s="3">
        <f t="shared" si="0"/>
        <v>80</v>
      </c>
      <c r="H10">
        <v>60</v>
      </c>
      <c r="I10">
        <v>90</v>
      </c>
      <c r="J10">
        <v>120</v>
      </c>
      <c r="K10" t="s">
        <v>6</v>
      </c>
      <c r="L10">
        <v>60</v>
      </c>
      <c r="M10" s="5">
        <v>17.600000000000001</v>
      </c>
      <c r="N10" s="6">
        <f t="shared" si="1"/>
        <v>2.6666666666666665</v>
      </c>
      <c r="O10" s="5">
        <f t="shared" si="2"/>
        <v>106.93333333333334</v>
      </c>
      <c r="P10" s="7">
        <v>5.0000000000000001E-4</v>
      </c>
      <c r="Q10" s="3">
        <f t="shared" si="3"/>
        <v>0.04</v>
      </c>
    </row>
    <row r="11" spans="1:17" ht="15" x14ac:dyDescent="0.35">
      <c r="A11" s="1" t="s">
        <v>31</v>
      </c>
      <c r="B11">
        <v>401110</v>
      </c>
      <c r="C11" t="s">
        <v>32</v>
      </c>
      <c r="D11" t="s">
        <v>33</v>
      </c>
      <c r="E11">
        <v>500</v>
      </c>
      <c r="F11" s="3">
        <v>25000</v>
      </c>
      <c r="G11" s="3">
        <f t="shared" si="0"/>
        <v>50</v>
      </c>
      <c r="H11">
        <v>150</v>
      </c>
      <c r="I11">
        <v>75</v>
      </c>
      <c r="J11">
        <v>250</v>
      </c>
      <c r="K11" t="s">
        <v>6</v>
      </c>
      <c r="L11">
        <v>100</v>
      </c>
      <c r="M11" s="5">
        <v>21.6</v>
      </c>
      <c r="N11" s="6">
        <f t="shared" si="1"/>
        <v>6.666666666666667</v>
      </c>
      <c r="O11" s="5">
        <f t="shared" si="2"/>
        <v>244.00000000000003</v>
      </c>
      <c r="P11" s="7">
        <v>1.2999999999999999E-3</v>
      </c>
      <c r="Q11" s="3">
        <f t="shared" si="3"/>
        <v>6.5000000000000002E-2</v>
      </c>
    </row>
    <row r="12" spans="1:17" ht="15" x14ac:dyDescent="0.35">
      <c r="A12" s="1" t="s">
        <v>34</v>
      </c>
      <c r="B12">
        <v>401110</v>
      </c>
      <c r="C12" t="s">
        <v>32</v>
      </c>
      <c r="D12" t="s">
        <v>35</v>
      </c>
      <c r="E12">
        <v>80</v>
      </c>
      <c r="F12" s="3">
        <v>64000</v>
      </c>
      <c r="G12" s="3">
        <f t="shared" si="0"/>
        <v>800</v>
      </c>
      <c r="H12">
        <v>20</v>
      </c>
      <c r="I12">
        <v>60</v>
      </c>
      <c r="J12">
        <v>10</v>
      </c>
      <c r="K12" t="s">
        <v>5</v>
      </c>
      <c r="L12">
        <v>5</v>
      </c>
      <c r="M12" s="5">
        <v>43</v>
      </c>
      <c r="N12" s="6">
        <f t="shared" si="1"/>
        <v>1.3333333333333333</v>
      </c>
      <c r="O12" s="5">
        <f t="shared" si="2"/>
        <v>62.333333333333329</v>
      </c>
      <c r="P12" s="7">
        <v>8.0000000000000004E-4</v>
      </c>
      <c r="Q12" s="3">
        <f t="shared" si="3"/>
        <v>0.64</v>
      </c>
    </row>
    <row r="13" spans="1:17" ht="15" x14ac:dyDescent="0.35">
      <c r="A13" s="1" t="s">
        <v>36</v>
      </c>
      <c r="B13">
        <v>840999</v>
      </c>
      <c r="C13" t="s">
        <v>7</v>
      </c>
      <c r="D13" t="s">
        <v>37</v>
      </c>
      <c r="E13">
        <v>35</v>
      </c>
      <c r="F13" s="3">
        <v>17500</v>
      </c>
      <c r="G13" s="3">
        <f t="shared" si="0"/>
        <v>500</v>
      </c>
      <c r="H13">
        <v>10</v>
      </c>
      <c r="I13">
        <v>40</v>
      </c>
      <c r="J13">
        <v>10</v>
      </c>
      <c r="K13" t="s">
        <v>5</v>
      </c>
      <c r="L13">
        <v>4</v>
      </c>
      <c r="M13" s="5">
        <v>16.8</v>
      </c>
      <c r="N13" s="6">
        <f t="shared" si="1"/>
        <v>0.875</v>
      </c>
      <c r="O13" s="5">
        <f t="shared" si="2"/>
        <v>18.700000000000003</v>
      </c>
      <c r="P13" s="7">
        <v>1.1000000000000001E-3</v>
      </c>
      <c r="Q13" s="3">
        <f t="shared" si="3"/>
        <v>0.55000000000000004</v>
      </c>
    </row>
    <row r="14" spans="1:17" ht="15" x14ac:dyDescent="0.35">
      <c r="A14" s="1" t="s">
        <v>38</v>
      </c>
      <c r="B14">
        <v>850710</v>
      </c>
      <c r="C14" t="s">
        <v>7</v>
      </c>
      <c r="D14" t="s">
        <v>39</v>
      </c>
      <c r="E14">
        <v>28</v>
      </c>
      <c r="F14" s="3">
        <v>16800</v>
      </c>
      <c r="G14" s="3">
        <f t="shared" si="0"/>
        <v>600</v>
      </c>
      <c r="H14">
        <v>6</v>
      </c>
      <c r="I14">
        <v>38</v>
      </c>
      <c r="J14">
        <v>8</v>
      </c>
      <c r="K14" t="s">
        <v>5</v>
      </c>
      <c r="L14">
        <v>3</v>
      </c>
      <c r="M14" s="5">
        <v>23.4</v>
      </c>
      <c r="N14" s="6">
        <f t="shared" si="1"/>
        <v>0.73684210526315785</v>
      </c>
      <c r="O14" s="5">
        <f t="shared" si="2"/>
        <v>20.242105263157892</v>
      </c>
      <c r="P14" s="7">
        <v>5.9999999999999995E-4</v>
      </c>
      <c r="Q14" s="3">
        <f t="shared" si="3"/>
        <v>0.36</v>
      </c>
    </row>
    <row r="15" spans="1:17" ht="15" x14ac:dyDescent="0.35">
      <c r="A15" s="1" t="s">
        <v>40</v>
      </c>
      <c r="B15">
        <v>851220</v>
      </c>
      <c r="C15" t="s">
        <v>7</v>
      </c>
      <c r="D15" t="s">
        <v>41</v>
      </c>
      <c r="E15">
        <v>15</v>
      </c>
      <c r="F15" s="3">
        <v>90000</v>
      </c>
      <c r="G15" s="3">
        <f t="shared" si="0"/>
        <v>6000</v>
      </c>
      <c r="H15">
        <v>4</v>
      </c>
      <c r="I15">
        <v>30</v>
      </c>
      <c r="J15">
        <v>2</v>
      </c>
      <c r="K15" t="s">
        <v>5</v>
      </c>
      <c r="L15">
        <v>1</v>
      </c>
      <c r="M15" s="5">
        <v>27.6</v>
      </c>
      <c r="N15" s="6">
        <f t="shared" si="1"/>
        <v>0.5</v>
      </c>
      <c r="O15" s="5">
        <f t="shared" si="2"/>
        <v>14.8</v>
      </c>
      <c r="P15" s="7">
        <v>1.4E-3</v>
      </c>
      <c r="Q15" s="3">
        <f t="shared" si="3"/>
        <v>8.4</v>
      </c>
    </row>
    <row r="16" spans="1:17" ht="15" x14ac:dyDescent="0.35">
      <c r="A16" s="1" t="s">
        <v>42</v>
      </c>
      <c r="B16">
        <v>870829</v>
      </c>
      <c r="C16" t="s">
        <v>43</v>
      </c>
      <c r="D16" t="s">
        <v>44</v>
      </c>
      <c r="E16">
        <v>55</v>
      </c>
      <c r="F16" s="3">
        <v>22000</v>
      </c>
      <c r="G16" s="3">
        <f t="shared" si="0"/>
        <v>400</v>
      </c>
      <c r="H16">
        <v>12</v>
      </c>
      <c r="I16">
        <v>50</v>
      </c>
      <c r="J16">
        <v>10</v>
      </c>
      <c r="K16" t="s">
        <v>5</v>
      </c>
      <c r="L16">
        <v>5</v>
      </c>
      <c r="M16" s="5">
        <v>20.6</v>
      </c>
      <c r="N16" s="6">
        <f t="shared" si="1"/>
        <v>1.1000000000000001</v>
      </c>
      <c r="O16" s="5">
        <f t="shared" si="2"/>
        <v>27.660000000000004</v>
      </c>
      <c r="P16" s="7">
        <v>8.9999999999999998E-4</v>
      </c>
      <c r="Q16" s="3">
        <f t="shared" si="3"/>
        <v>0.36</v>
      </c>
    </row>
    <row r="17" spans="1:17" ht="15" x14ac:dyDescent="0.35">
      <c r="A17" s="1" t="s">
        <v>45</v>
      </c>
      <c r="B17">
        <v>870810</v>
      </c>
      <c r="C17" t="s">
        <v>46</v>
      </c>
      <c r="D17" t="s">
        <v>47</v>
      </c>
      <c r="E17">
        <v>40</v>
      </c>
      <c r="F17" s="3">
        <v>32000</v>
      </c>
      <c r="G17" s="3">
        <f t="shared" si="0"/>
        <v>800</v>
      </c>
      <c r="H17">
        <v>8</v>
      </c>
      <c r="I17">
        <v>65</v>
      </c>
      <c r="J17">
        <v>5</v>
      </c>
      <c r="K17" t="s">
        <v>6</v>
      </c>
      <c r="L17">
        <v>3</v>
      </c>
      <c r="M17" s="5">
        <v>32.9</v>
      </c>
      <c r="N17" s="6">
        <f t="shared" si="1"/>
        <v>0.61538461538461542</v>
      </c>
      <c r="O17" s="5">
        <f t="shared" si="2"/>
        <v>23.246153846153845</v>
      </c>
      <c r="P17" s="7">
        <v>1.1999999999999999E-3</v>
      </c>
      <c r="Q17" s="3">
        <f t="shared" si="3"/>
        <v>0.96</v>
      </c>
    </row>
    <row r="18" spans="1:17" ht="15" x14ac:dyDescent="0.35">
      <c r="A18" s="1" t="s">
        <v>48</v>
      </c>
      <c r="B18">
        <v>870899</v>
      </c>
      <c r="C18" t="s">
        <v>49</v>
      </c>
      <c r="D18" t="s">
        <v>50</v>
      </c>
      <c r="E18">
        <v>18</v>
      </c>
      <c r="F18" s="3">
        <v>12600</v>
      </c>
      <c r="G18" s="3">
        <f t="shared" si="0"/>
        <v>700</v>
      </c>
      <c r="H18">
        <v>5</v>
      </c>
      <c r="I18">
        <v>45</v>
      </c>
      <c r="J18">
        <v>5</v>
      </c>
      <c r="K18" t="s">
        <v>5</v>
      </c>
      <c r="L18">
        <v>2</v>
      </c>
      <c r="M18" s="5">
        <v>25.1</v>
      </c>
      <c r="N18" s="6">
        <f t="shared" si="1"/>
        <v>0.4</v>
      </c>
      <c r="O18" s="5">
        <f t="shared" si="2"/>
        <v>12.040000000000001</v>
      </c>
      <c r="P18" s="7">
        <v>6.9999999999999999E-4</v>
      </c>
      <c r="Q18" s="3">
        <f t="shared" si="3"/>
        <v>0.49</v>
      </c>
    </row>
    <row r="19" spans="1:17" ht="15" x14ac:dyDescent="0.35">
      <c r="A19" s="1" t="s">
        <v>51</v>
      </c>
      <c r="B19">
        <v>870870</v>
      </c>
      <c r="C19" t="s">
        <v>52</v>
      </c>
      <c r="D19" t="s">
        <v>53</v>
      </c>
      <c r="E19">
        <v>2000</v>
      </c>
      <c r="F19" s="3">
        <v>4000</v>
      </c>
      <c r="G19" s="3">
        <f t="shared" si="0"/>
        <v>2</v>
      </c>
      <c r="H19">
        <v>500</v>
      </c>
      <c r="I19">
        <v>120</v>
      </c>
      <c r="J19">
        <v>1000</v>
      </c>
      <c r="K19" t="s">
        <v>6</v>
      </c>
      <c r="L19">
        <v>300</v>
      </c>
      <c r="M19" s="5">
        <v>15.15</v>
      </c>
      <c r="N19" s="6">
        <f t="shared" si="1"/>
        <v>16.666666666666668</v>
      </c>
      <c r="O19" s="5">
        <f t="shared" si="2"/>
        <v>552.5</v>
      </c>
      <c r="P19" s="7">
        <v>1E-3</v>
      </c>
      <c r="Q19" s="3">
        <f t="shared" si="3"/>
        <v>2E-3</v>
      </c>
    </row>
    <row r="20" spans="1:17" ht="15" x14ac:dyDescent="0.35">
      <c r="A20" s="1" t="s">
        <v>54</v>
      </c>
      <c r="B20">
        <v>870880</v>
      </c>
      <c r="C20" t="s">
        <v>22</v>
      </c>
      <c r="D20" t="s">
        <v>55</v>
      </c>
      <c r="E20">
        <v>180</v>
      </c>
      <c r="F20" s="3">
        <v>32400</v>
      </c>
      <c r="G20" s="3">
        <f t="shared" si="0"/>
        <v>180</v>
      </c>
      <c r="H20">
        <v>50</v>
      </c>
      <c r="I20">
        <v>55</v>
      </c>
      <c r="J20">
        <v>100</v>
      </c>
      <c r="K20" t="s">
        <v>6</v>
      </c>
      <c r="L20">
        <v>40</v>
      </c>
      <c r="M20" s="5">
        <v>34.5</v>
      </c>
      <c r="N20" s="6">
        <f t="shared" si="1"/>
        <v>3.2727272727272729</v>
      </c>
      <c r="O20" s="5">
        <f t="shared" si="2"/>
        <v>152.90909090909093</v>
      </c>
      <c r="P20" s="7">
        <v>5.0000000000000001E-4</v>
      </c>
      <c r="Q20" s="3">
        <f t="shared" si="3"/>
        <v>0.09</v>
      </c>
    </row>
    <row r="21" spans="1:17" ht="15" x14ac:dyDescent="0.35">
      <c r="A21" s="1" t="s">
        <v>56</v>
      </c>
      <c r="B21">
        <v>870829</v>
      </c>
      <c r="C21" t="s">
        <v>14</v>
      </c>
      <c r="D21" t="s">
        <v>57</v>
      </c>
      <c r="E21">
        <v>360</v>
      </c>
      <c r="F21" s="3">
        <v>28800</v>
      </c>
      <c r="G21" s="3">
        <f t="shared" si="0"/>
        <v>80</v>
      </c>
      <c r="H21">
        <v>80</v>
      </c>
      <c r="I21">
        <v>95</v>
      </c>
      <c r="J21">
        <v>200</v>
      </c>
      <c r="K21" t="s">
        <v>6</v>
      </c>
      <c r="L21">
        <v>80</v>
      </c>
      <c r="M21" s="5">
        <v>27</v>
      </c>
      <c r="N21" s="6">
        <f t="shared" si="1"/>
        <v>3.7894736842105261</v>
      </c>
      <c r="O21" s="5">
        <f t="shared" si="2"/>
        <v>182.31578947368422</v>
      </c>
      <c r="P21" s="7">
        <v>1.2999999999999999E-3</v>
      </c>
      <c r="Q21" s="3">
        <f t="shared" si="3"/>
        <v>0.104</v>
      </c>
    </row>
    <row r="22" spans="1:17" ht="15" x14ac:dyDescent="0.35">
      <c r="A22" s="1" t="s">
        <v>58</v>
      </c>
      <c r="B22">
        <v>870840</v>
      </c>
      <c r="C22" t="s">
        <v>17</v>
      </c>
      <c r="D22" t="s">
        <v>59</v>
      </c>
      <c r="E22">
        <v>150</v>
      </c>
      <c r="F22" s="3">
        <v>4500</v>
      </c>
      <c r="G22" s="3">
        <f t="shared" si="0"/>
        <v>30</v>
      </c>
      <c r="H22">
        <v>30</v>
      </c>
      <c r="I22">
        <v>70</v>
      </c>
      <c r="J22">
        <v>150</v>
      </c>
      <c r="K22" t="s">
        <v>6</v>
      </c>
      <c r="L22">
        <v>50</v>
      </c>
      <c r="M22" s="5">
        <v>22.799999999999997</v>
      </c>
      <c r="N22" s="6">
        <f t="shared" si="1"/>
        <v>2.1428571428571428</v>
      </c>
      <c r="O22" s="5">
        <f t="shared" si="2"/>
        <v>98.857142857142847</v>
      </c>
      <c r="P22" s="7">
        <v>8.0000000000000004E-4</v>
      </c>
      <c r="Q22" s="3">
        <f t="shared" si="3"/>
        <v>2.4E-2</v>
      </c>
    </row>
    <row r="23" spans="1:17" ht="15" x14ac:dyDescent="0.35">
      <c r="A23" s="1" t="s">
        <v>60</v>
      </c>
      <c r="B23">
        <v>840991</v>
      </c>
      <c r="C23" t="s">
        <v>9</v>
      </c>
      <c r="D23" t="s">
        <v>61</v>
      </c>
      <c r="E23">
        <v>90</v>
      </c>
      <c r="F23" s="3">
        <v>27000</v>
      </c>
      <c r="G23" s="3">
        <f t="shared" si="0"/>
        <v>300</v>
      </c>
      <c r="H23">
        <v>25</v>
      </c>
      <c r="I23">
        <v>45</v>
      </c>
      <c r="J23">
        <v>50</v>
      </c>
      <c r="K23" t="s">
        <v>5</v>
      </c>
      <c r="L23">
        <v>20</v>
      </c>
      <c r="M23" s="5">
        <v>18.399999999999999</v>
      </c>
      <c r="N23" s="6">
        <f t="shared" si="1"/>
        <v>2</v>
      </c>
      <c r="O23" s="5">
        <f t="shared" si="2"/>
        <v>56.8</v>
      </c>
      <c r="P23" s="7">
        <v>1.1000000000000001E-3</v>
      </c>
      <c r="Q23" s="3">
        <f t="shared" si="3"/>
        <v>0.33</v>
      </c>
    </row>
    <row r="24" spans="1:17" ht="15" x14ac:dyDescent="0.35">
      <c r="A24" s="1" t="s">
        <v>62</v>
      </c>
      <c r="B24">
        <v>901829</v>
      </c>
      <c r="C24" t="s">
        <v>7</v>
      </c>
      <c r="D24" t="s">
        <v>63</v>
      </c>
      <c r="E24">
        <v>480</v>
      </c>
      <c r="F24" s="3">
        <v>9600</v>
      </c>
      <c r="G24" s="3">
        <f t="shared" si="0"/>
        <v>20</v>
      </c>
      <c r="H24">
        <v>120</v>
      </c>
      <c r="I24">
        <v>100</v>
      </c>
      <c r="J24">
        <v>300</v>
      </c>
      <c r="K24" t="s">
        <v>6</v>
      </c>
      <c r="L24">
        <v>150</v>
      </c>
      <c r="M24" s="5">
        <v>18.5</v>
      </c>
      <c r="N24" s="6">
        <f t="shared" si="1"/>
        <v>4.8</v>
      </c>
      <c r="O24" s="5">
        <f t="shared" si="2"/>
        <v>238.8</v>
      </c>
      <c r="P24" s="7">
        <v>5.9999999999999995E-4</v>
      </c>
      <c r="Q24" s="3">
        <f t="shared" si="3"/>
        <v>1.1999999999999999E-2</v>
      </c>
    </row>
    <row r="25" spans="1:17" ht="15" x14ac:dyDescent="0.35">
      <c r="A25" s="1" t="s">
        <v>64</v>
      </c>
      <c r="B25">
        <v>870899</v>
      </c>
      <c r="C25" t="s">
        <v>46</v>
      </c>
      <c r="D25" t="s">
        <v>65</v>
      </c>
      <c r="E25">
        <v>260</v>
      </c>
      <c r="F25" s="3">
        <v>52000</v>
      </c>
      <c r="G25" s="3">
        <f t="shared" si="0"/>
        <v>200</v>
      </c>
      <c r="H25">
        <v>60</v>
      </c>
      <c r="I25">
        <v>85</v>
      </c>
      <c r="J25">
        <v>200</v>
      </c>
      <c r="K25" t="s">
        <v>6</v>
      </c>
      <c r="L25">
        <v>100</v>
      </c>
      <c r="M25" s="5">
        <v>26</v>
      </c>
      <c r="N25" s="6">
        <f t="shared" si="1"/>
        <v>3.0588235294117645</v>
      </c>
      <c r="O25" s="5">
        <f t="shared" si="2"/>
        <v>179.52941176470588</v>
      </c>
      <c r="P25" s="7">
        <v>1.4E-3</v>
      </c>
      <c r="Q25" s="3">
        <f t="shared" si="3"/>
        <v>0.27999999999999997</v>
      </c>
    </row>
    <row r="26" spans="1:17" ht="15" x14ac:dyDescent="0.35">
      <c r="A26" s="1" t="s">
        <v>66</v>
      </c>
      <c r="B26">
        <v>870829</v>
      </c>
      <c r="C26" t="s">
        <v>67</v>
      </c>
      <c r="D26" t="s">
        <v>68</v>
      </c>
      <c r="E26">
        <v>38</v>
      </c>
      <c r="F26" s="3">
        <v>7600</v>
      </c>
      <c r="G26" s="3">
        <f t="shared" si="0"/>
        <v>200</v>
      </c>
      <c r="H26">
        <v>10</v>
      </c>
      <c r="I26">
        <v>50</v>
      </c>
      <c r="J26">
        <v>20</v>
      </c>
      <c r="K26" t="s">
        <v>5</v>
      </c>
      <c r="L26">
        <v>8</v>
      </c>
      <c r="M26" s="5">
        <v>23.799999999999997</v>
      </c>
      <c r="N26" s="6">
        <f t="shared" si="1"/>
        <v>0.76</v>
      </c>
      <c r="O26" s="5">
        <f t="shared" si="2"/>
        <v>26.087999999999997</v>
      </c>
      <c r="P26" s="7">
        <v>8.9999999999999998E-4</v>
      </c>
      <c r="Q26" s="3">
        <f t="shared" si="3"/>
        <v>0.18</v>
      </c>
    </row>
    <row r="27" spans="1:17" ht="15" x14ac:dyDescent="0.35">
      <c r="A27" s="1" t="s">
        <v>69</v>
      </c>
      <c r="B27">
        <v>841459</v>
      </c>
      <c r="C27" t="s">
        <v>67</v>
      </c>
      <c r="D27" t="s">
        <v>70</v>
      </c>
      <c r="E27">
        <v>32</v>
      </c>
      <c r="F27" s="3">
        <v>12800</v>
      </c>
      <c r="G27" s="3">
        <f t="shared" si="0"/>
        <v>400</v>
      </c>
      <c r="H27">
        <v>6</v>
      </c>
      <c r="I27">
        <v>48</v>
      </c>
      <c r="J27">
        <v>10</v>
      </c>
      <c r="K27" t="s">
        <v>5</v>
      </c>
      <c r="L27">
        <v>5</v>
      </c>
      <c r="M27" s="5">
        <v>29.8</v>
      </c>
      <c r="N27" s="6">
        <f t="shared" si="1"/>
        <v>0.66666666666666663</v>
      </c>
      <c r="O27" s="5">
        <f t="shared" si="2"/>
        <v>24.866666666666667</v>
      </c>
      <c r="P27" s="7">
        <v>1.1999999999999999E-3</v>
      </c>
      <c r="Q27" s="3">
        <f t="shared" si="3"/>
        <v>0.48</v>
      </c>
    </row>
    <row r="28" spans="1:17" ht="15" x14ac:dyDescent="0.35">
      <c r="A28" s="1" t="s">
        <v>71</v>
      </c>
      <c r="B28">
        <v>401190</v>
      </c>
      <c r="C28" t="s">
        <v>32</v>
      </c>
      <c r="D28" t="s">
        <v>72</v>
      </c>
      <c r="E28">
        <v>1200</v>
      </c>
      <c r="F28" s="3">
        <v>180000</v>
      </c>
      <c r="G28" s="3">
        <f t="shared" si="0"/>
        <v>150</v>
      </c>
      <c r="H28">
        <v>400</v>
      </c>
      <c r="I28">
        <v>30</v>
      </c>
      <c r="J28">
        <v>2000</v>
      </c>
      <c r="K28" t="s">
        <v>6</v>
      </c>
      <c r="L28">
        <v>600</v>
      </c>
      <c r="M28" s="5">
        <v>17.5</v>
      </c>
      <c r="N28" s="6">
        <f t="shared" si="1"/>
        <v>40</v>
      </c>
      <c r="O28" s="5">
        <f t="shared" si="2"/>
        <v>1300</v>
      </c>
      <c r="P28" s="7">
        <v>6.9999999999999999E-4</v>
      </c>
      <c r="Q28" s="3">
        <f t="shared" si="3"/>
        <v>0.105</v>
      </c>
    </row>
    <row r="29" spans="1:17" ht="15" x14ac:dyDescent="0.35">
      <c r="A29" s="1" t="s">
        <v>73</v>
      </c>
      <c r="B29">
        <v>870899</v>
      </c>
      <c r="C29" t="s">
        <v>52</v>
      </c>
      <c r="D29" t="s">
        <v>74</v>
      </c>
      <c r="E29">
        <v>240</v>
      </c>
      <c r="F29" s="3">
        <v>9600</v>
      </c>
      <c r="G29" s="3">
        <f t="shared" si="0"/>
        <v>40</v>
      </c>
      <c r="H29">
        <v>50</v>
      </c>
      <c r="I29">
        <v>110</v>
      </c>
      <c r="J29">
        <v>300</v>
      </c>
      <c r="K29" t="s">
        <v>6</v>
      </c>
      <c r="L29">
        <v>100</v>
      </c>
      <c r="M29" s="5">
        <v>25.2</v>
      </c>
      <c r="N29" s="6">
        <f t="shared" si="1"/>
        <v>2.1818181818181817</v>
      </c>
      <c r="O29" s="5">
        <f t="shared" si="2"/>
        <v>154.98181818181817</v>
      </c>
      <c r="P29" s="7">
        <v>1E-3</v>
      </c>
      <c r="Q29" s="3">
        <f t="shared" si="3"/>
        <v>0.04</v>
      </c>
    </row>
    <row r="30" spans="1:17" ht="15" x14ac:dyDescent="0.35">
      <c r="A30" s="1" t="s">
        <v>75</v>
      </c>
      <c r="B30">
        <v>870899</v>
      </c>
      <c r="C30" t="s">
        <v>76</v>
      </c>
      <c r="D30" t="s">
        <v>77</v>
      </c>
      <c r="E30">
        <v>1500</v>
      </c>
      <c r="F30" s="3">
        <v>22500</v>
      </c>
      <c r="G30" s="3">
        <f t="shared" si="0"/>
        <v>15</v>
      </c>
      <c r="H30">
        <v>400</v>
      </c>
      <c r="I30">
        <v>150</v>
      </c>
      <c r="J30">
        <v>2000</v>
      </c>
      <c r="K30" t="s">
        <v>6</v>
      </c>
      <c r="L30">
        <v>500</v>
      </c>
      <c r="M30" s="5">
        <v>29.200000000000003</v>
      </c>
      <c r="N30" s="6">
        <f t="shared" si="1"/>
        <v>10</v>
      </c>
      <c r="O30" s="5">
        <f t="shared" si="2"/>
        <v>792</v>
      </c>
      <c r="P30" s="7">
        <v>5.0000000000000001E-4</v>
      </c>
      <c r="Q30" s="3">
        <f t="shared" si="3"/>
        <v>7.4999999999999997E-3</v>
      </c>
    </row>
    <row r="31" spans="1:17" ht="15" x14ac:dyDescent="0.35">
      <c r="A31" s="1" t="s">
        <v>78</v>
      </c>
      <c r="B31">
        <v>870829</v>
      </c>
      <c r="C31" t="s">
        <v>7</v>
      </c>
      <c r="D31" t="s">
        <v>79</v>
      </c>
      <c r="E31">
        <v>420</v>
      </c>
      <c r="F31" s="3">
        <v>6300</v>
      </c>
      <c r="G31" s="3">
        <f t="shared" si="0"/>
        <v>15</v>
      </c>
      <c r="H31">
        <v>80</v>
      </c>
      <c r="I31">
        <v>95</v>
      </c>
      <c r="J31">
        <v>200</v>
      </c>
      <c r="K31" t="s">
        <v>6</v>
      </c>
      <c r="L31">
        <v>100</v>
      </c>
      <c r="M31" s="5">
        <v>19.8</v>
      </c>
      <c r="N31" s="6">
        <f t="shared" si="1"/>
        <v>4.4210526315789478</v>
      </c>
      <c r="O31" s="5">
        <f t="shared" si="2"/>
        <v>187.53684210526319</v>
      </c>
      <c r="P31" s="7">
        <v>1.2999999999999999E-3</v>
      </c>
      <c r="Q31" s="3">
        <f t="shared" si="3"/>
        <v>1.95E-2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2691e6-3dd6-4136-b9de-ea5482bfa64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0A104EFF5C024AA79AD78CB44176CF" ma:contentTypeVersion="11" ma:contentTypeDescription="Create a new document." ma:contentTypeScope="" ma:versionID="20cf8a6f49ef8bb54dd1547e2829c48f">
  <xsd:schema xmlns:xsd="http://www.w3.org/2001/XMLSchema" xmlns:xs="http://www.w3.org/2001/XMLSchema" xmlns:p="http://schemas.microsoft.com/office/2006/metadata/properties" xmlns:ns2="942691e6-3dd6-4136-b9de-ea5482bfa647" targetNamespace="http://schemas.microsoft.com/office/2006/metadata/properties" ma:root="true" ma:fieldsID="1183328a354284f1910a6057b013db4c" ns2:_="">
    <xsd:import namespace="942691e6-3dd6-4136-b9de-ea5482bfa6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2691e6-3dd6-4136-b9de-ea5482bfa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90c6b26-a452-4077-be57-cedd6bb1e3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23CFE5-4C48-4888-9500-BC95E1CC93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6B4257-3DB4-4008-A855-03E184174B83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942691e6-3dd6-4136-b9de-ea5482bfa647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8268C67-B164-4636-9D95-8793FBE5E6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2691e6-3dd6-4136-b9de-ea5482bfa6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</vt:lpstr>
    </vt:vector>
  </TitlesOfParts>
  <Company>Tech Mahindra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Somesh Gondikar</dc:creator>
  <cp:lastModifiedBy>SOMESH GONDIKAR</cp:lastModifiedBy>
  <dcterms:created xsi:type="dcterms:W3CDTF">2026-05-25T08:32:48Z</dcterms:created>
  <dcterms:modified xsi:type="dcterms:W3CDTF">2026-06-01T17:08:33Z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0x0101007A0A104EFF5C024AA79AD78CB44176CF</vt:lpwstr>
  </property>
  <property fmtid="{D5CDD505-2E9C-101B-9397-08002B2CF9AE}" pid="3" name="MediaServiceImageTags">
    <vt:lpwstr/>
  </property>
</Properties>
</file>